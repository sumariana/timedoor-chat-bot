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 days" sheetId="1" state="visible" r:id="rId1"/>
    <sheet name="Simple Gantt" sheetId="2" state="visible" r:id="rId2"/>
    <sheet name="Detail Timeline (in Week)" sheetId="3" state="visible" r:id="rId3"/>
    <sheet name="Summary Gant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</font>
    <font>
      <name val="Calibri"/>
      <b val="1"/>
    </font>
  </fonts>
  <fills count="7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58" customWidth="1" min="3" max="3"/>
    <col width="14" customWidth="1" min="4" max="4"/>
    <col width="12" customWidth="1" min="5" max="5"/>
    <col width="14" customWidth="1" min="6" max="6"/>
    <col width="48" customWidth="1" min="7" max="7"/>
  </cols>
  <sheetData>
    <row r="1" ht="20" customHeight="1">
      <c r="A1" s="1" t="inlineStr">
        <is>
          <t>No</t>
        </is>
      </c>
      <c r="B1" s="2" t="inlineStr">
        <is>
          <t>Module / Task</t>
        </is>
      </c>
      <c r="C1" s="2" t="inlineStr">
        <is>
          <t>Detail</t>
        </is>
      </c>
      <c r="D1" s="1" t="inlineStr">
        <is>
          <t>Design (days)</t>
        </is>
      </c>
      <c r="E1" s="1" t="inlineStr">
        <is>
          <t>FE (days)</t>
        </is>
      </c>
      <c r="F1" s="1" t="inlineStr">
        <is>
          <t>Backend (days)</t>
        </is>
      </c>
      <c r="G1" s="2" t="inlineStr">
        <is>
          <t>Note</t>
        </is>
      </c>
    </row>
    <row r="2">
      <c r="A2" s="31" t="inlineStr"/>
      <c r="B2" s="4" t="inlineStr">
        <is>
          <t>Planning</t>
        </is>
      </c>
      <c r="C2" s="4" t="inlineStr"/>
      <c r="D2" s="31" t="inlineStr"/>
      <c r="E2" s="31" t="inlineStr"/>
      <c r="F2" s="31" t="n">
        <v>1</v>
      </c>
      <c r="G2" s="5" t="inlineStr">
        <is>
          <t>Env setup, Discord bot + Railway config, Notion API &amp; MCP tokens, YAML skeleton</t>
        </is>
      </c>
    </row>
    <row r="3">
      <c r="A3" s="31" t="inlineStr">
        <is>
          <t>1</t>
        </is>
      </c>
      <c r="B3" s="4" t="inlineStr">
        <is>
          <t>Discord Gateway</t>
        </is>
      </c>
      <c r="C3" s="4" t="inlineStr"/>
      <c r="D3" s="31" t="inlineStr"/>
      <c r="E3" s="31" t="inlineStr"/>
      <c r="F3" s="31" t="inlineStr"/>
      <c r="G3" s="5" t="inlineStr"/>
    </row>
    <row r="4">
      <c r="A4" s="6" t="inlineStr"/>
      <c r="B4" s="6" t="inlineStr"/>
      <c r="C4" s="7" t="inlineStr">
        <is>
          <t>Bot Auth &amp; Connection + Channel Allow/Deny Filter</t>
        </is>
      </c>
      <c r="D4" s="8" t="n">
        <v>0</v>
      </c>
      <c r="E4" s="8" t="n">
        <v>0</v>
      </c>
      <c r="F4" s="9" t="n">
        <v>1</v>
      </c>
      <c r="G4" s="6" t="inlineStr"/>
    </row>
    <row r="5">
      <c r="A5" s="6" t="inlineStr"/>
      <c r="B5" s="6" t="inlineStr"/>
      <c r="C5" s="7" t="inlineStr">
        <is>
          <t>@Mention Listener + Rate Limiter + Response Formatter (Embeds) + Error Messenger</t>
        </is>
      </c>
      <c r="D5" s="8" t="n">
        <v>0</v>
      </c>
      <c r="E5" s="8" t="n">
        <v>0</v>
      </c>
      <c r="F5" s="9" t="n">
        <v>1</v>
      </c>
      <c r="G5" s="6" t="inlineStr"/>
    </row>
    <row r="6">
      <c r="A6" s="31" t="inlineStr">
        <is>
          <t>2</t>
        </is>
      </c>
      <c r="B6" s="4" t="inlineStr">
        <is>
          <t>Query Parser</t>
        </is>
      </c>
      <c r="C6" s="4" t="inlineStr"/>
      <c r="D6" s="31" t="inlineStr"/>
      <c r="E6" s="31" t="inlineStr"/>
      <c r="F6" s="31" t="inlineStr"/>
      <c r="G6" s="5" t="inlineStr"/>
    </row>
    <row r="7">
      <c r="A7" s="6" t="inlineStr"/>
      <c r="B7" s="6" t="inlineStr"/>
      <c r="C7" s="7" t="inlineStr">
        <is>
          <t>Session Manager (in-memory, 30min timeout, history injector, reset command)</t>
        </is>
      </c>
      <c r="D7" s="8" t="n">
        <v>0</v>
      </c>
      <c r="E7" s="8" t="n">
        <v>0</v>
      </c>
      <c r="F7" s="9" t="n">
        <v>1</v>
      </c>
      <c r="G7" s="6" t="inlineStr"/>
    </row>
    <row r="8">
      <c r="A8" s="6" t="inlineStr"/>
      <c r="B8" s="6" t="inlineStr"/>
      <c r="C8" s="7" t="inlineStr">
        <is>
          <t>Intent Classifier (8 intents) + Language Detector (ID / EN)</t>
        </is>
      </c>
      <c r="D8" s="8" t="n">
        <v>0</v>
      </c>
      <c r="E8" s="8" t="n">
        <v>0</v>
      </c>
      <c r="F8" s="9" t="n">
        <v>1</v>
      </c>
      <c r="G8" s="6" t="inlineStr"/>
    </row>
    <row r="9">
      <c r="A9" s="6" t="inlineStr"/>
      <c r="B9" s="6" t="inlineStr"/>
      <c r="C9" s="7" t="inlineStr">
        <is>
          <t>Entity Extractor + Fuzzy Matcher + Ambiguity Handler</t>
        </is>
      </c>
      <c r="D9" s="8" t="n">
        <v>0</v>
      </c>
      <c r="E9" s="8" t="n">
        <v>0</v>
      </c>
      <c r="F9" s="9" t="n">
        <v>1</v>
      </c>
      <c r="G9" s="6" t="inlineStr"/>
    </row>
    <row r="10">
      <c r="A10" s="6" t="inlineStr"/>
      <c r="B10" s="6" t="inlineStr"/>
      <c r="C10" s="7" t="inlineStr">
        <is>
          <t>Multi-Question Splitter + cross-question entity inheritance</t>
        </is>
      </c>
      <c r="D10" s="8" t="n">
        <v>0</v>
      </c>
      <c r="E10" s="8" t="n">
        <v>0</v>
      </c>
      <c r="F10" s="9" t="n">
        <v>1</v>
      </c>
      <c r="G10" s="6" t="inlineStr"/>
    </row>
    <row r="11">
      <c r="A11" s="31" t="inlineStr">
        <is>
          <t>3</t>
        </is>
      </c>
      <c r="B11" s="4" t="inlineStr">
        <is>
          <t>Notion Data Router</t>
        </is>
      </c>
      <c r="C11" s="4" t="inlineStr"/>
      <c r="D11" s="31" t="inlineStr"/>
      <c r="E11" s="31" t="inlineStr"/>
      <c r="F11" s="31" t="inlineStr"/>
      <c r="G11" s="5" t="inlineStr"/>
    </row>
    <row r="12">
      <c r="A12" s="6" t="inlineStr"/>
      <c r="B12" s="6" t="inlineStr"/>
      <c r="C12" s="7" t="inlineStr">
        <is>
          <t>Route Decision Engine + Workspace DB Registry (YAML config)</t>
        </is>
      </c>
      <c r="D12" s="8" t="n">
        <v>0</v>
      </c>
      <c r="E12" s="8" t="n">
        <v>0</v>
      </c>
      <c r="F12" s="9" t="n">
        <v>1</v>
      </c>
      <c r="G12" s="6" t="inlineStr"/>
    </row>
    <row r="13">
      <c r="A13" s="6" t="inlineStr"/>
      <c r="B13" s="6" t="inlineStr"/>
      <c r="C13" s="7" t="inlineStr">
        <is>
          <t>Property Name Normalizer + Multi-hop Coordinator + Null Fallback</t>
        </is>
      </c>
      <c r="D13" s="8" t="n">
        <v>0</v>
      </c>
      <c r="E13" s="8" t="n">
        <v>0</v>
      </c>
      <c r="F13" s="9" t="n">
        <v>1</v>
      </c>
      <c r="G13" s="6" t="inlineStr"/>
    </row>
    <row r="14">
      <c r="A14" s="31" t="inlineStr">
        <is>
          <t>4</t>
        </is>
      </c>
      <c r="B14" s="4" t="inlineStr">
        <is>
          <t>Data Fetcher</t>
        </is>
      </c>
      <c r="C14" s="4" t="inlineStr"/>
      <c r="D14" s="31" t="inlineStr"/>
      <c r="E14" s="31" t="inlineStr"/>
      <c r="F14" s="31" t="inlineStr"/>
      <c r="G14" s="5" t="inlineStr"/>
    </row>
    <row r="15">
      <c r="A15" s="6" t="inlineStr"/>
      <c r="B15" s="6" t="inlineStr"/>
      <c r="C15" s="7" t="inlineStr">
        <is>
          <t>Notion API Client: project search, property fetch, bug count, changelog</t>
        </is>
      </c>
      <c r="D15" s="8" t="n">
        <v>0</v>
      </c>
      <c r="E15" s="8" t="n">
        <v>0</v>
      </c>
      <c r="F15" s="9" t="n">
        <v>2</v>
      </c>
      <c r="G15" s="6" t="inlineStr"/>
    </row>
    <row r="16">
      <c r="A16" s="6" t="inlineStr"/>
      <c r="B16" s="6" t="inlineStr"/>
      <c r="C16" s="7" t="inlineStr">
        <is>
          <t>Notion MCP Client: workspace search, page nav, content reader, credential extractor</t>
        </is>
      </c>
      <c r="D16" s="8" t="n">
        <v>0</v>
      </c>
      <c r="E16" s="8" t="n">
        <v>0</v>
      </c>
      <c r="F16" s="9" t="n">
        <v>1</v>
      </c>
      <c r="G16" s="6" t="inlineStr"/>
    </row>
    <row r="17">
      <c r="A17" s="6" t="inlineStr"/>
      <c r="B17" s="6" t="inlineStr"/>
      <c r="C17" s="7" t="inlineStr">
        <is>
          <t>Cache Layer: per-tier TTLs (30min / 5min / 15min / no-cache for credentials)</t>
        </is>
      </c>
      <c r="D17" s="8" t="n">
        <v>0</v>
      </c>
      <c r="E17" s="8" t="n">
        <v>0</v>
      </c>
      <c r="F17" s="9" t="n">
        <v>1</v>
      </c>
      <c r="G17" s="6" t="inlineStr"/>
    </row>
    <row r="18">
      <c r="A18" s="31" t="inlineStr">
        <is>
          <t>5</t>
        </is>
      </c>
      <c r="B18" s="4" t="inlineStr">
        <is>
          <t>LLM Response Synthesizer</t>
        </is>
      </c>
      <c r="C18" s="4" t="inlineStr"/>
      <c r="D18" s="31" t="inlineStr"/>
      <c r="E18" s="31" t="inlineStr"/>
      <c r="F18" s="31" t="inlineStr"/>
      <c r="G18" s="5" t="inlineStr"/>
    </row>
    <row r="19">
      <c r="A19" s="6" t="inlineStr"/>
      <c r="B19" s="6" t="inlineStr"/>
      <c r="C19" s="7" t="inlineStr">
        <is>
          <t>Prompt Builder + Multi-answer Formatter + Language Instruction</t>
        </is>
      </c>
      <c r="D19" s="8" t="n">
        <v>0</v>
      </c>
      <c r="E19" s="8" t="n">
        <v>0</v>
      </c>
      <c r="F19" s="9" t="n">
        <v>1</v>
      </c>
      <c r="G19" s="6" t="inlineStr"/>
    </row>
    <row r="20">
      <c r="A20" s="6" t="inlineStr"/>
      <c r="B20" s="6" t="inlineStr"/>
      <c r="C20" s="7" t="inlineStr">
        <is>
          <t>Hallucination Guardrail + Credential Formatter + Not-Found Handler + Cost Guard</t>
        </is>
      </c>
      <c r="D20" s="8" t="n">
        <v>0</v>
      </c>
      <c r="E20" s="8" t="n">
        <v>0</v>
      </c>
      <c r="F20" s="9" t="n">
        <v>1</v>
      </c>
      <c r="G20" s="6" t="inlineStr"/>
    </row>
    <row r="21">
      <c r="A21" s="31" t="inlineStr">
        <is>
          <t>6</t>
        </is>
      </c>
      <c r="B21" s="4" t="inlineStr">
        <is>
          <t>Config &amp; Observability</t>
        </is>
      </c>
      <c r="C21" s="4" t="inlineStr"/>
      <c r="D21" s="31" t="inlineStr"/>
      <c r="E21" s="31" t="inlineStr"/>
      <c r="F21" s="31" t="inlineStr"/>
      <c r="G21" s="5" t="inlineStr"/>
    </row>
    <row r="22">
      <c r="A22" s="6" t="inlineStr"/>
      <c r="B22" s="6" t="inlineStr"/>
      <c r="C22" s="7" t="inlineStr">
        <is>
          <t>YAML Config (channel, DB registry, LLM, cache TTLs) + FastAPI Health Check endpoint</t>
        </is>
      </c>
      <c r="D22" s="8" t="n">
        <v>0</v>
      </c>
      <c r="E22" s="8" t="n">
        <v>0</v>
      </c>
      <c r="F22" s="9" t="n">
        <v>0.5</v>
      </c>
      <c r="G22" s="6" t="inlineStr"/>
    </row>
    <row r="23">
      <c r="A23" s="6" t="inlineStr"/>
      <c r="B23" s="6" t="inlineStr"/>
      <c r="C23" s="7" t="inlineStr">
        <is>
          <t>Latency Logger + Error Tracker + Query Audit Log</t>
        </is>
      </c>
      <c r="D23" s="8" t="n">
        <v>0</v>
      </c>
      <c r="E23" s="8" t="n">
        <v>0</v>
      </c>
      <c r="F23" s="9" t="n">
        <v>0.5</v>
      </c>
      <c r="G23" s="6" t="inlineStr"/>
    </row>
    <row r="24">
      <c r="A24" s="31" t="inlineStr"/>
      <c r="B24" s="4" t="inlineStr">
        <is>
          <t>Integration &amp; Testing</t>
        </is>
      </c>
      <c r="C24" s="4" t="inlineStr"/>
      <c r="D24" s="31" t="inlineStr"/>
      <c r="E24" s="31" t="inlineStr"/>
      <c r="F24" s="31" t="inlineStr"/>
      <c r="G24" s="5" t="inlineStr"/>
    </row>
    <row r="25">
      <c r="A25" s="6" t="inlineStr"/>
      <c r="B25" s="6" t="inlineStr"/>
      <c r="C25" s="7" t="inlineStr">
        <is>
          <t>End-to-end integration across all 6 modules + internal testing + bug fixes</t>
        </is>
      </c>
      <c r="D25" s="8" t="n">
        <v>0</v>
      </c>
      <c r="E25" s="8" t="n">
        <v>0</v>
      </c>
      <c r="F25" s="9" t="n">
        <v>2</v>
      </c>
      <c r="G25" s="6" t="inlineStr"/>
    </row>
    <row r="26">
      <c r="A26" s="31" t="inlineStr"/>
      <c r="B26" s="4" t="inlineStr">
        <is>
          <t>UAT + Deployment</t>
        </is>
      </c>
      <c r="C26" s="4" t="inlineStr"/>
      <c r="D26" s="31" t="inlineStr"/>
      <c r="E26" s="31" t="inlineStr"/>
      <c r="F26" s="31" t="inlineStr"/>
      <c r="G26" s="5" t="inlineStr"/>
    </row>
    <row r="27">
      <c r="A27" s="6" t="inlineStr"/>
      <c r="B27" s="6" t="inlineStr"/>
      <c r="C27" s="7" t="inlineStr">
        <is>
          <t>UAT (PM, Dev, QA, CS, Sales) + revision + Railway prod deploy + post-launch monitoring</t>
        </is>
      </c>
      <c r="D27" s="8" t="n">
        <v>0</v>
      </c>
      <c r="E27" s="8" t="n">
        <v>0</v>
      </c>
      <c r="F27" s="9" t="n">
        <v>2</v>
      </c>
      <c r="G27" s="6" t="inlineStr"/>
    </row>
    <row r="29">
      <c r="A29" s="10" t="inlineStr"/>
      <c r="B29" s="10" t="inlineStr"/>
      <c r="C29" s="11" t="inlineStr">
        <is>
          <t>TOTAL</t>
        </is>
      </c>
      <c r="D29" s="12">
        <f>SUM(D2:D27)</f>
        <v/>
      </c>
      <c r="E29" s="12">
        <f>SUM(E2:E27)</f>
        <v/>
      </c>
      <c r="F29" s="12">
        <f>SUM(F2:F27)</f>
        <v/>
      </c>
      <c r="G29" s="10" t="inlineStr"/>
    </row>
    <row r="30">
      <c r="A30" s="10" t="inlineStr"/>
      <c r="B30" s="10" t="inlineStr"/>
      <c r="C30" s="11" t="inlineStr">
        <is>
          <t>Total Mandays</t>
        </is>
      </c>
      <c r="D30" s="12">
        <f>D29+E29+F29</f>
        <v/>
      </c>
      <c r="E30" s="10" t="inlineStr"/>
      <c r="F30" s="10" t="inlineStr"/>
      <c r="G30" s="10" t="inlineStr"/>
    </row>
    <row r="32">
      <c r="A32" s="10" t="inlineStr"/>
      <c r="B32" s="10" t="inlineStr"/>
      <c r="C32" s="13" t="inlineStr">
        <is>
          <t>Base Cost (IDR / manday)</t>
        </is>
      </c>
      <c r="D32" s="14" t="n">
        <v>500000</v>
      </c>
      <c r="E32" s="10" t="inlineStr"/>
      <c r="F32" s="10" t="inlineStr"/>
      <c r="G32" s="10" t="inlineStr"/>
    </row>
    <row r="33">
      <c r="A33" s="10" t="inlineStr"/>
      <c r="B33" s="10" t="inlineStr"/>
      <c r="C33" s="15" t="inlineStr">
        <is>
          <t>Total Development Cost</t>
        </is>
      </c>
      <c r="D33" s="16">
        <f>D30*D32</f>
        <v/>
      </c>
      <c r="E33" s="10" t="inlineStr"/>
      <c r="F33" s="10" t="inlineStr"/>
      <c r="G33" s="10" t="inlineStr"/>
    </row>
    <row r="35">
      <c r="A35" s="10" t="inlineStr"/>
      <c r="B35" s="10" t="inlineStr"/>
      <c r="C35" s="13" t="inlineStr">
        <is>
          <t>PM Cost  (1 month × IDR 2,000,000)</t>
        </is>
      </c>
      <c r="D35" s="14" t="n">
        <v>2000000</v>
      </c>
      <c r="E35" s="10" t="inlineStr"/>
      <c r="F35" s="10" t="inlineStr"/>
      <c r="G35" s="10" t="inlineStr"/>
    </row>
    <row r="36">
      <c r="A36" s="10" t="inlineStr"/>
      <c r="B36" s="10" t="inlineStr"/>
      <c r="C36" s="13" t="inlineStr">
        <is>
          <t>Tester Cost  (2 review days × IDR 200,000)</t>
        </is>
      </c>
      <c r="D36" s="14" t="n">
        <v>400000</v>
      </c>
      <c r="E36" s="10" t="inlineStr"/>
      <c r="F36" s="10" t="inlineStr"/>
      <c r="G36" s="10" t="inlineStr"/>
    </row>
    <row r="38">
      <c r="A38" s="10" t="inlineStr"/>
      <c r="B38" s="10" t="inlineStr"/>
      <c r="C38" s="15" t="inlineStr">
        <is>
          <t>Grand Total</t>
        </is>
      </c>
      <c r="D38" s="16">
        <f>D33+D35+D36</f>
        <v/>
      </c>
      <c r="E38" s="10" t="inlineStr"/>
      <c r="F38" s="10" t="inlineStr"/>
      <c r="G38" s="10" t="inlineStr"/>
    </row>
    <row r="40">
      <c r="A40" s="10" t="inlineStr"/>
      <c r="B40" s="10" t="inlineStr"/>
      <c r="C40" s="13" t="inlineStr">
        <is>
          <t>Yearly Maintenance  (10% × Grand Total)</t>
        </is>
      </c>
      <c r="D40" s="14">
        <f>10%*D38</f>
        <v/>
      </c>
      <c r="E40" s="10" t="inlineStr"/>
      <c r="F40" s="10" t="inlineStr"/>
      <c r="G40" s="10" t="inlineStr"/>
    </row>
    <row r="41">
      <c r="A41" s="10" t="inlineStr"/>
      <c r="B41" s="10" t="inlineStr"/>
      <c r="C41" s="13" t="inlineStr">
        <is>
          <t>Monthly Maintenance</t>
        </is>
      </c>
      <c r="D41" s="14">
        <f>D40/12</f>
        <v/>
      </c>
      <c r="E41" s="10" t="inlineStr"/>
      <c r="F41" s="10" t="inlineStr"/>
      <c r="G41" s="10" t="inlineStr"/>
    </row>
    <row r="43">
      <c r="A43" s="10" t="inlineStr"/>
      <c r="B43" s="10" t="inlineStr"/>
      <c r="C43" s="13" t="inlineStr">
        <is>
          <t>Extra Cost — One-time project  (30% × Grand Total)</t>
        </is>
      </c>
      <c r="D43" s="14">
        <f>30%*D38</f>
        <v/>
      </c>
      <c r="E43" s="10" t="inlineStr"/>
      <c r="F43" s="10" t="inlineStr"/>
      <c r="G43" s="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</cols>
  <sheetData>
    <row r="1">
      <c r="A1" s="1" t="inlineStr">
        <is>
          <t>No</t>
        </is>
      </c>
      <c r="B1" s="2" t="inlineStr">
        <is>
          <t>Stage</t>
        </is>
      </c>
      <c r="C1" s="17" t="inlineStr">
        <is>
          <t>Week 1</t>
        </is>
      </c>
      <c r="D1" s="18" t="n"/>
      <c r="E1" s="18" t="n"/>
      <c r="F1" s="18" t="n"/>
      <c r="G1" s="19" t="n"/>
      <c r="H1" s="17" t="inlineStr">
        <is>
          <t>Week 2</t>
        </is>
      </c>
      <c r="I1" s="18" t="n"/>
      <c r="J1" s="18" t="n"/>
      <c r="K1" s="18" t="n"/>
      <c r="L1" s="19" t="n"/>
      <c r="M1" s="17" t="inlineStr">
        <is>
          <t>Week 3</t>
        </is>
      </c>
      <c r="N1" s="18" t="n"/>
      <c r="O1" s="18" t="n"/>
      <c r="P1" s="18" t="n"/>
      <c r="Q1" s="19" t="n"/>
      <c r="R1" s="17" t="inlineStr">
        <is>
          <t>Week 4</t>
        </is>
      </c>
      <c r="S1" s="18" t="n"/>
      <c r="T1" s="18" t="n"/>
      <c r="U1" s="18" t="n"/>
      <c r="V1" s="19" t="n"/>
    </row>
    <row r="2">
      <c r="C2" s="20" t="n">
        <v>1</v>
      </c>
      <c r="D2" s="20" t="n">
        <v>2</v>
      </c>
      <c r="E2" s="20" t="n">
        <v>3</v>
      </c>
      <c r="F2" s="20" t="n">
        <v>4</v>
      </c>
      <c r="G2" s="20" t="n">
        <v>5</v>
      </c>
      <c r="H2" s="20" t="n">
        <v>1</v>
      </c>
      <c r="I2" s="20" t="n">
        <v>2</v>
      </c>
      <c r="J2" s="20" t="n">
        <v>3</v>
      </c>
      <c r="K2" s="20" t="n">
        <v>4</v>
      </c>
      <c r="L2" s="20" t="n">
        <v>5</v>
      </c>
      <c r="M2" s="20" t="n">
        <v>1</v>
      </c>
      <c r="N2" s="20" t="n">
        <v>2</v>
      </c>
      <c r="O2" s="20" t="n">
        <v>3</v>
      </c>
      <c r="P2" s="20" t="n">
        <v>4</v>
      </c>
      <c r="Q2" s="20" t="n">
        <v>5</v>
      </c>
      <c r="R2" s="20" t="n">
        <v>1</v>
      </c>
      <c r="S2" s="20" t="n">
        <v>2</v>
      </c>
      <c r="T2" s="20" t="n">
        <v>3</v>
      </c>
      <c r="U2" s="20" t="n">
        <v>4</v>
      </c>
      <c r="V2" s="20" t="n">
        <v>5</v>
      </c>
    </row>
    <row r="3">
      <c r="A3" s="21" t="n">
        <v>1</v>
      </c>
      <c r="B3" s="22" t="inlineStr">
        <is>
          <t>Planning &amp; Setup</t>
        </is>
      </c>
      <c r="C3" s="23" t="inlineStr">
        <is>
          <t>■</t>
        </is>
      </c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</row>
    <row r="4">
      <c r="A4" s="21" t="n">
        <v>2</v>
      </c>
      <c r="B4" s="22" t="inlineStr">
        <is>
          <t>Module 1 — Discord Gateway</t>
        </is>
      </c>
      <c r="C4" s="24" t="n"/>
      <c r="D4" s="23" t="inlineStr">
        <is>
          <t>■</t>
        </is>
      </c>
      <c r="E4" s="23" t="inlineStr">
        <is>
          <t>■</t>
        </is>
      </c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</row>
    <row r="5">
      <c r="A5" s="21" t="n">
        <v>3</v>
      </c>
      <c r="B5" s="22" t="inlineStr">
        <is>
          <t>Module 2 — Query Parser</t>
        </is>
      </c>
      <c r="C5" s="24" t="n"/>
      <c r="D5" s="24" t="n"/>
      <c r="E5" s="24" t="n"/>
      <c r="F5" s="23" t="inlineStr">
        <is>
          <t>■</t>
        </is>
      </c>
      <c r="G5" s="23" t="inlineStr">
        <is>
          <t>■</t>
        </is>
      </c>
      <c r="H5" s="23" t="inlineStr">
        <is>
          <t>■</t>
        </is>
      </c>
      <c r="I5" s="23" t="inlineStr">
        <is>
          <t>■</t>
        </is>
      </c>
      <c r="J5" s="23" t="inlineStr">
        <is>
          <t>■</t>
        </is>
      </c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</row>
    <row r="6">
      <c r="A6" s="21" t="n">
        <v>4</v>
      </c>
      <c r="B6" s="22" t="inlineStr">
        <is>
          <t>Module 3 — Notion Data Router</t>
        </is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3" t="inlineStr">
        <is>
          <t>■</t>
        </is>
      </c>
      <c r="L6" s="23" t="inlineStr">
        <is>
          <t>■</t>
        </is>
      </c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</row>
    <row r="7">
      <c r="A7" s="21" t="n">
        <v>5</v>
      </c>
      <c r="B7" s="22" t="inlineStr">
        <is>
          <t>Module 4 — Data Fetcher (API + MCP + Cache)</t>
        </is>
      </c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3" t="inlineStr">
        <is>
          <t>■</t>
        </is>
      </c>
      <c r="N7" s="23" t="inlineStr">
        <is>
          <t>■</t>
        </is>
      </c>
      <c r="O7" s="23" t="inlineStr">
        <is>
          <t>■</t>
        </is>
      </c>
      <c r="P7" s="23" t="inlineStr">
        <is>
          <t>■</t>
        </is>
      </c>
      <c r="Q7" s="24" t="n"/>
      <c r="R7" s="24" t="n"/>
      <c r="S7" s="24" t="n"/>
      <c r="T7" s="24" t="n"/>
      <c r="U7" s="24" t="n"/>
      <c r="V7" s="24" t="n"/>
    </row>
    <row r="8">
      <c r="A8" s="21" t="n">
        <v>6</v>
      </c>
      <c r="B8" s="22" t="inlineStr">
        <is>
          <t>Module 5 — LLM Response Synthesizer</t>
        </is>
      </c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3" t="inlineStr">
        <is>
          <t>■</t>
        </is>
      </c>
      <c r="R8" s="23" t="inlineStr">
        <is>
          <t>■</t>
        </is>
      </c>
      <c r="S8" s="24" t="n"/>
      <c r="T8" s="24" t="n"/>
      <c r="U8" s="24" t="n"/>
      <c r="V8" s="24" t="n"/>
    </row>
    <row r="9">
      <c r="A9" s="21" t="n">
        <v>7</v>
      </c>
      <c r="B9" s="22" t="inlineStr">
        <is>
          <t>Module 6 — Config &amp; Observability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3" t="inlineStr">
        <is>
          <t>■</t>
        </is>
      </c>
      <c r="T9" s="24" t="n"/>
      <c r="U9" s="24" t="n"/>
      <c r="V9" s="24" t="n"/>
    </row>
    <row r="10">
      <c r="A10" s="21" t="n">
        <v>8</v>
      </c>
      <c r="B10" s="22" t="inlineStr">
        <is>
          <t>Integration &amp; Testing</t>
        </is>
      </c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3" t="inlineStr">
        <is>
          <t>■</t>
        </is>
      </c>
      <c r="U10" s="23" t="inlineStr">
        <is>
          <t>■</t>
        </is>
      </c>
      <c r="V10" s="24" t="n"/>
    </row>
    <row r="11">
      <c r="A11" s="21" t="n">
        <v>9</v>
      </c>
      <c r="B11" s="22" t="inlineStr">
        <is>
          <t>UAT + Deployment</t>
        </is>
      </c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3" t="inlineStr">
        <is>
          <t>■</t>
        </is>
      </c>
    </row>
  </sheetData>
  <mergeCells count="4">
    <mergeCell ref="R1:V1"/>
    <mergeCell ref="H1:L1"/>
    <mergeCell ref="M1:Q1"/>
    <mergeCell ref="C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5" customWidth="1" min="2" max="2"/>
    <col width="7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</cols>
  <sheetData>
    <row r="1" ht="32" customHeight="1">
      <c r="A1" s="25" t="inlineStr">
        <is>
          <t>Timedoor Project Assistant Bot
Project Plan</t>
        </is>
      </c>
      <c r="B1" s="2" t="inlineStr">
        <is>
          <t>Task / Sub-task</t>
        </is>
      </c>
      <c r="C1" s="1" t="inlineStr">
        <is>
          <t>PIC</t>
        </is>
      </c>
      <c r="D1" s="17" t="inlineStr">
        <is>
          <t>Week 1</t>
        </is>
      </c>
      <c r="E1" s="18" t="n"/>
      <c r="F1" s="18" t="n"/>
      <c r="G1" s="18" t="n"/>
      <c r="H1" s="19" t="n"/>
      <c r="I1" s="17" t="inlineStr">
        <is>
          <t>Week 2</t>
        </is>
      </c>
      <c r="J1" s="18" t="n"/>
      <c r="K1" s="18" t="n"/>
      <c r="L1" s="18" t="n"/>
      <c r="M1" s="19" t="n"/>
      <c r="N1" s="17" t="inlineStr">
        <is>
          <t>Week 3</t>
        </is>
      </c>
      <c r="O1" s="18" t="n"/>
      <c r="P1" s="18" t="n"/>
      <c r="Q1" s="18" t="n"/>
      <c r="R1" s="19" t="n"/>
      <c r="S1" s="17" t="inlineStr">
        <is>
          <t>Week 4</t>
        </is>
      </c>
      <c r="T1" s="18" t="n"/>
      <c r="U1" s="18" t="n"/>
      <c r="V1" s="18" t="n"/>
      <c r="W1" s="19" t="n"/>
    </row>
    <row r="2">
      <c r="D2" s="20" t="n">
        <v>1</v>
      </c>
      <c r="E2" s="20" t="n">
        <v>2</v>
      </c>
      <c r="F2" s="20" t="n">
        <v>3</v>
      </c>
      <c r="G2" s="20" t="n">
        <v>4</v>
      </c>
      <c r="H2" s="20" t="n">
        <v>5</v>
      </c>
      <c r="I2" s="20" t="n">
        <v>1</v>
      </c>
      <c r="J2" s="20" t="n">
        <v>2</v>
      </c>
      <c r="K2" s="20" t="n">
        <v>3</v>
      </c>
      <c r="L2" s="20" t="n">
        <v>4</v>
      </c>
      <c r="M2" s="20" t="n">
        <v>5</v>
      </c>
      <c r="N2" s="20" t="n">
        <v>1</v>
      </c>
      <c r="O2" s="20" t="n">
        <v>2</v>
      </c>
      <c r="P2" s="20" t="n">
        <v>3</v>
      </c>
      <c r="Q2" s="20" t="n">
        <v>4</v>
      </c>
      <c r="R2" s="20" t="n">
        <v>5</v>
      </c>
      <c r="S2" s="20" t="n">
        <v>1</v>
      </c>
      <c r="T2" s="20" t="n">
        <v>2</v>
      </c>
      <c r="U2" s="20" t="n">
        <v>3</v>
      </c>
      <c r="V2" s="20" t="n">
        <v>4</v>
      </c>
      <c r="W2" s="20" t="n">
        <v>5</v>
      </c>
    </row>
    <row r="3">
      <c r="A3" s="4" t="inlineStr">
        <is>
          <t>Planning</t>
        </is>
      </c>
      <c r="B3" s="26" t="inlineStr"/>
      <c r="C3" s="27" t="inlineStr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  <c r="P3" s="28" t="n"/>
      <c r="Q3" s="28" t="n"/>
      <c r="R3" s="28" t="n"/>
      <c r="S3" s="28" t="n"/>
      <c r="T3" s="28" t="n"/>
      <c r="U3" s="28" t="n"/>
      <c r="V3" s="28" t="n"/>
      <c r="W3" s="28" t="n"/>
    </row>
    <row r="4">
      <c r="A4" s="6" t="inlineStr"/>
      <c r="B4" s="6" t="inlineStr">
        <is>
          <t>Env setup (Python 3.11, discord.py, FastAPI, LangChain)</t>
        </is>
      </c>
      <c r="C4" s="8" t="inlineStr">
        <is>
          <t>Tmdr</t>
        </is>
      </c>
      <c r="D4" s="23" t="inlineStr">
        <is>
          <t>■</t>
        </is>
      </c>
      <c r="E4" s="29" t="inlineStr"/>
      <c r="F4" s="29" t="inlineStr"/>
      <c r="G4" s="29" t="inlineStr"/>
      <c r="H4" s="29" t="inlineStr"/>
      <c r="I4" s="29" t="inlineStr"/>
      <c r="J4" s="29" t="inlineStr"/>
      <c r="K4" s="29" t="inlineStr"/>
      <c r="L4" s="29" t="inlineStr"/>
      <c r="M4" s="29" t="inlineStr"/>
      <c r="N4" s="29" t="inlineStr"/>
      <c r="O4" s="29" t="inlineStr"/>
      <c r="P4" s="29" t="inlineStr"/>
      <c r="Q4" s="29" t="inlineStr"/>
      <c r="R4" s="29" t="inlineStr"/>
      <c r="S4" s="29" t="inlineStr"/>
      <c r="T4" s="29" t="inlineStr"/>
      <c r="U4" s="29" t="inlineStr"/>
      <c r="V4" s="29" t="inlineStr"/>
      <c r="W4" s="29" t="inlineStr"/>
    </row>
    <row r="5">
      <c r="A5" s="6" t="inlineStr"/>
      <c r="B5" s="6" t="inlineStr">
        <is>
          <t>Discord bot registration + Railway project init + GitHub repo</t>
        </is>
      </c>
      <c r="C5" s="8" t="inlineStr">
        <is>
          <t>Tmdr</t>
        </is>
      </c>
      <c r="D5" s="23" t="inlineStr">
        <is>
          <t>■</t>
        </is>
      </c>
      <c r="E5" s="29" t="inlineStr"/>
      <c r="F5" s="29" t="inlineStr"/>
      <c r="G5" s="29" t="inlineStr"/>
      <c r="H5" s="29" t="inlineStr"/>
      <c r="I5" s="29" t="inlineStr"/>
      <c r="J5" s="29" t="inlineStr"/>
      <c r="K5" s="29" t="inlineStr"/>
      <c r="L5" s="29" t="inlineStr"/>
      <c r="M5" s="29" t="inlineStr"/>
      <c r="N5" s="29" t="inlineStr"/>
      <c r="O5" s="29" t="inlineStr"/>
      <c r="P5" s="29" t="inlineStr"/>
      <c r="Q5" s="29" t="inlineStr"/>
      <c r="R5" s="29" t="inlineStr"/>
      <c r="S5" s="29" t="inlineStr"/>
      <c r="T5" s="29" t="inlineStr"/>
      <c r="U5" s="29" t="inlineStr"/>
      <c r="V5" s="29" t="inlineStr"/>
      <c r="W5" s="29" t="inlineStr"/>
    </row>
    <row r="6">
      <c r="A6" s="6" t="inlineStr"/>
      <c r="B6" s="6" t="inlineStr">
        <is>
          <t>Notion API token + Notion MCP server setup</t>
        </is>
      </c>
      <c r="C6" s="8" t="inlineStr">
        <is>
          <t>Tmdr</t>
        </is>
      </c>
      <c r="D6" s="23" t="inlineStr">
        <is>
          <t>■</t>
        </is>
      </c>
      <c r="E6" s="29" t="inlineStr"/>
      <c r="F6" s="29" t="inlineStr"/>
      <c r="G6" s="29" t="inlineStr"/>
      <c r="H6" s="29" t="inlineStr"/>
      <c r="I6" s="29" t="inlineStr"/>
      <c r="J6" s="29" t="inlineStr"/>
      <c r="K6" s="29" t="inlineStr"/>
      <c r="L6" s="29" t="inlineStr"/>
      <c r="M6" s="29" t="inlineStr"/>
      <c r="N6" s="29" t="inlineStr"/>
      <c r="O6" s="29" t="inlineStr"/>
      <c r="P6" s="29" t="inlineStr"/>
      <c r="Q6" s="29" t="inlineStr"/>
      <c r="R6" s="29" t="inlineStr"/>
      <c r="S6" s="29" t="inlineStr"/>
      <c r="T6" s="29" t="inlineStr"/>
      <c r="U6" s="29" t="inlineStr"/>
      <c r="V6" s="29" t="inlineStr"/>
      <c r="W6" s="29" t="inlineStr"/>
    </row>
    <row r="7">
      <c r="A7" s="6" t="inlineStr"/>
      <c r="B7" s="6" t="inlineStr">
        <is>
          <t>YAML config skeleton + project folder structure</t>
        </is>
      </c>
      <c r="C7" s="8" t="inlineStr">
        <is>
          <t>Tmdr</t>
        </is>
      </c>
      <c r="D7" s="23" t="inlineStr">
        <is>
          <t>■</t>
        </is>
      </c>
      <c r="E7" s="29" t="inlineStr"/>
      <c r="F7" s="29" t="inlineStr"/>
      <c r="G7" s="29" t="inlineStr"/>
      <c r="H7" s="29" t="inlineStr"/>
      <c r="I7" s="29" t="inlineStr"/>
      <c r="J7" s="29" t="inlineStr"/>
      <c r="K7" s="29" t="inlineStr"/>
      <c r="L7" s="29" t="inlineStr"/>
      <c r="M7" s="29" t="inlineStr"/>
      <c r="N7" s="29" t="inlineStr"/>
      <c r="O7" s="29" t="inlineStr"/>
      <c r="P7" s="29" t="inlineStr"/>
      <c r="Q7" s="29" t="inlineStr"/>
      <c r="R7" s="29" t="inlineStr"/>
      <c r="S7" s="29" t="inlineStr"/>
      <c r="T7" s="29" t="inlineStr"/>
      <c r="U7" s="29" t="inlineStr"/>
      <c r="V7" s="29" t="inlineStr"/>
      <c r="W7" s="29" t="inlineStr"/>
    </row>
    <row r="8">
      <c r="A8" s="4" t="inlineStr">
        <is>
          <t>Development</t>
        </is>
      </c>
      <c r="B8" s="26" t="inlineStr"/>
      <c r="C8" s="27" t="inlineStr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</row>
    <row r="9">
      <c r="A9" s="6" t="inlineStr"/>
      <c r="B9" s="6" t="inlineStr">
        <is>
          <t>Module 1 — Discord Gateway</t>
        </is>
      </c>
      <c r="C9" s="8" t="inlineStr">
        <is>
          <t>Tmdr</t>
        </is>
      </c>
      <c r="D9" s="29" t="inlineStr"/>
      <c r="E9" s="23" t="inlineStr">
        <is>
          <t>■</t>
        </is>
      </c>
      <c r="F9" s="23" t="inlineStr">
        <is>
          <t>■</t>
        </is>
      </c>
      <c r="G9" s="29" t="inlineStr"/>
      <c r="H9" s="29" t="inlineStr"/>
      <c r="I9" s="29" t="inlineStr"/>
      <c r="J9" s="29" t="inlineStr"/>
      <c r="K9" s="29" t="inlineStr"/>
      <c r="L9" s="29" t="inlineStr"/>
      <c r="M9" s="29" t="inlineStr"/>
      <c r="N9" s="29" t="inlineStr"/>
      <c r="O9" s="29" t="inlineStr"/>
      <c r="P9" s="29" t="inlineStr"/>
      <c r="Q9" s="29" t="inlineStr"/>
      <c r="R9" s="29" t="inlineStr"/>
      <c r="S9" s="29" t="inlineStr"/>
      <c r="T9" s="29" t="inlineStr"/>
      <c r="U9" s="29" t="inlineStr"/>
      <c r="V9" s="29" t="inlineStr"/>
      <c r="W9" s="29" t="inlineStr"/>
    </row>
    <row r="10">
      <c r="A10" s="6" t="inlineStr"/>
      <c r="B10" s="6" t="inlineStr">
        <is>
          <t xml:space="preserve">  └ Bot auth &amp; connection + channel allow/deny filter</t>
        </is>
      </c>
      <c r="C10" s="8" t="inlineStr">
        <is>
          <t>Tmdr</t>
        </is>
      </c>
      <c r="D10" s="29" t="inlineStr"/>
      <c r="E10" s="23" t="inlineStr">
        <is>
          <t>■</t>
        </is>
      </c>
      <c r="F10" s="29" t="inlineStr"/>
      <c r="G10" s="29" t="inlineStr"/>
      <c r="H10" s="29" t="inlineStr"/>
      <c r="I10" s="29" t="inlineStr"/>
      <c r="J10" s="29" t="inlineStr"/>
      <c r="K10" s="29" t="inlineStr"/>
      <c r="L10" s="29" t="inlineStr"/>
      <c r="M10" s="29" t="inlineStr"/>
      <c r="N10" s="29" t="inlineStr"/>
      <c r="O10" s="29" t="inlineStr"/>
      <c r="P10" s="29" t="inlineStr"/>
      <c r="Q10" s="29" t="inlineStr"/>
      <c r="R10" s="29" t="inlineStr"/>
      <c r="S10" s="29" t="inlineStr"/>
      <c r="T10" s="29" t="inlineStr"/>
      <c r="U10" s="29" t="inlineStr"/>
      <c r="V10" s="29" t="inlineStr"/>
      <c r="W10" s="29" t="inlineStr"/>
    </row>
    <row r="11">
      <c r="A11" s="6" t="inlineStr"/>
      <c r="B11" s="6" t="inlineStr">
        <is>
          <t xml:space="preserve">  └ @Mention listener + rate limiter + error messenger</t>
        </is>
      </c>
      <c r="C11" s="8" t="inlineStr">
        <is>
          <t>Tmdr</t>
        </is>
      </c>
      <c r="D11" s="29" t="inlineStr"/>
      <c r="E11" s="23" t="inlineStr">
        <is>
          <t>■</t>
        </is>
      </c>
      <c r="F11" s="23" t="inlineStr">
        <is>
          <t>■</t>
        </is>
      </c>
      <c r="G11" s="29" t="inlineStr"/>
      <c r="H11" s="29" t="inlineStr"/>
      <c r="I11" s="29" t="inlineStr"/>
      <c r="J11" s="29" t="inlineStr"/>
      <c r="K11" s="29" t="inlineStr"/>
      <c r="L11" s="29" t="inlineStr"/>
      <c r="M11" s="29" t="inlineStr"/>
      <c r="N11" s="29" t="inlineStr"/>
      <c r="O11" s="29" t="inlineStr"/>
      <c r="P11" s="29" t="inlineStr"/>
      <c r="Q11" s="29" t="inlineStr"/>
      <c r="R11" s="29" t="inlineStr"/>
      <c r="S11" s="29" t="inlineStr"/>
      <c r="T11" s="29" t="inlineStr"/>
      <c r="U11" s="29" t="inlineStr"/>
      <c r="V11" s="29" t="inlineStr"/>
      <c r="W11" s="29" t="inlineStr"/>
    </row>
    <row r="12">
      <c r="A12" s="6" t="inlineStr"/>
      <c r="B12" s="6" t="inlineStr">
        <is>
          <t xml:space="preserve">  └ Response formatter (Discord Embeds, color-coded)</t>
        </is>
      </c>
      <c r="C12" s="8" t="inlineStr">
        <is>
          <t>Tmdr</t>
        </is>
      </c>
      <c r="D12" s="29" t="inlineStr"/>
      <c r="E12" s="29" t="inlineStr"/>
      <c r="F12" s="23" t="inlineStr">
        <is>
          <t>■</t>
        </is>
      </c>
      <c r="G12" s="29" t="inlineStr"/>
      <c r="H12" s="29" t="inlineStr"/>
      <c r="I12" s="29" t="inlineStr"/>
      <c r="J12" s="29" t="inlineStr"/>
      <c r="K12" s="29" t="inlineStr"/>
      <c r="L12" s="29" t="inlineStr"/>
      <c r="M12" s="29" t="inlineStr"/>
      <c r="N12" s="29" t="inlineStr"/>
      <c r="O12" s="29" t="inlineStr"/>
      <c r="P12" s="29" t="inlineStr"/>
      <c r="Q12" s="29" t="inlineStr"/>
      <c r="R12" s="29" t="inlineStr"/>
      <c r="S12" s="29" t="inlineStr"/>
      <c r="T12" s="29" t="inlineStr"/>
      <c r="U12" s="29" t="inlineStr"/>
      <c r="V12" s="29" t="inlineStr"/>
      <c r="W12" s="29" t="inlineStr"/>
    </row>
    <row r="13">
      <c r="A13" s="6" t="inlineStr"/>
      <c r="B13" s="6" t="inlineStr">
        <is>
          <t>Module 2 — Query Parser</t>
        </is>
      </c>
      <c r="C13" s="8" t="inlineStr">
        <is>
          <t>Tmdr</t>
        </is>
      </c>
      <c r="D13" s="29" t="inlineStr"/>
      <c r="E13" s="29" t="inlineStr"/>
      <c r="F13" s="29" t="inlineStr"/>
      <c r="G13" s="23" t="inlineStr">
        <is>
          <t>■</t>
        </is>
      </c>
      <c r="H13" s="23" t="inlineStr">
        <is>
          <t>■</t>
        </is>
      </c>
      <c r="I13" s="23" t="inlineStr">
        <is>
          <t>■</t>
        </is>
      </c>
      <c r="J13" s="23" t="inlineStr">
        <is>
          <t>■</t>
        </is>
      </c>
      <c r="K13" s="23" t="inlineStr">
        <is>
          <t>■</t>
        </is>
      </c>
      <c r="L13" s="29" t="inlineStr"/>
      <c r="M13" s="29" t="inlineStr"/>
      <c r="N13" s="29" t="inlineStr"/>
      <c r="O13" s="29" t="inlineStr"/>
      <c r="P13" s="29" t="inlineStr"/>
      <c r="Q13" s="29" t="inlineStr"/>
      <c r="R13" s="29" t="inlineStr"/>
      <c r="S13" s="29" t="inlineStr"/>
      <c r="T13" s="29" t="inlineStr"/>
      <c r="U13" s="29" t="inlineStr"/>
      <c r="V13" s="29" t="inlineStr"/>
      <c r="W13" s="29" t="inlineStr"/>
    </row>
    <row r="14">
      <c r="A14" s="6" t="inlineStr"/>
      <c r="B14" s="6" t="inlineStr">
        <is>
          <t xml:space="preserve">  └ Session Manager (store, timeout, injector, reset cmd)</t>
        </is>
      </c>
      <c r="C14" s="8" t="inlineStr">
        <is>
          <t>Tmdr</t>
        </is>
      </c>
      <c r="D14" s="29" t="inlineStr"/>
      <c r="E14" s="29" t="inlineStr"/>
      <c r="F14" s="29" t="inlineStr"/>
      <c r="G14" s="23" t="inlineStr">
        <is>
          <t>■</t>
        </is>
      </c>
      <c r="H14" s="29" t="inlineStr"/>
      <c r="I14" s="29" t="inlineStr"/>
      <c r="J14" s="29" t="inlineStr"/>
      <c r="K14" s="29" t="inlineStr"/>
      <c r="L14" s="29" t="inlineStr"/>
      <c r="M14" s="29" t="inlineStr"/>
      <c r="N14" s="29" t="inlineStr"/>
      <c r="O14" s="29" t="inlineStr"/>
      <c r="P14" s="29" t="inlineStr"/>
      <c r="Q14" s="29" t="inlineStr"/>
      <c r="R14" s="29" t="inlineStr"/>
      <c r="S14" s="29" t="inlineStr"/>
      <c r="T14" s="29" t="inlineStr"/>
      <c r="U14" s="29" t="inlineStr"/>
      <c r="V14" s="29" t="inlineStr"/>
      <c r="W14" s="29" t="inlineStr"/>
    </row>
    <row r="15">
      <c r="A15" s="6" t="inlineStr"/>
      <c r="B15" s="6" t="inlineStr">
        <is>
          <t xml:space="preserve">  └ Intent Classifier (8 intents) + Language Detector ID/EN</t>
        </is>
      </c>
      <c r="C15" s="8" t="inlineStr">
        <is>
          <t>Tmdr</t>
        </is>
      </c>
      <c r="D15" s="29" t="inlineStr"/>
      <c r="E15" s="29" t="inlineStr"/>
      <c r="F15" s="29" t="inlineStr"/>
      <c r="G15" s="29" t="inlineStr"/>
      <c r="H15" s="23" t="inlineStr">
        <is>
          <t>■</t>
        </is>
      </c>
      <c r="I15" s="29" t="inlineStr"/>
      <c r="J15" s="29" t="inlineStr"/>
      <c r="K15" s="29" t="inlineStr"/>
      <c r="L15" s="29" t="inlineStr"/>
      <c r="M15" s="29" t="inlineStr"/>
      <c r="N15" s="29" t="inlineStr"/>
      <c r="O15" s="29" t="inlineStr"/>
      <c r="P15" s="29" t="inlineStr"/>
      <c r="Q15" s="29" t="inlineStr"/>
      <c r="R15" s="29" t="inlineStr"/>
      <c r="S15" s="29" t="inlineStr"/>
      <c r="T15" s="29" t="inlineStr"/>
      <c r="U15" s="29" t="inlineStr"/>
      <c r="V15" s="29" t="inlineStr"/>
      <c r="W15" s="29" t="inlineStr"/>
    </row>
    <row r="16">
      <c r="A16" s="6" t="inlineStr"/>
      <c r="B16" s="6" t="inlineStr">
        <is>
          <t xml:space="preserve">  └ Entity Extractor + Fuzzy Matcher + Ambiguity Handler</t>
        </is>
      </c>
      <c r="C16" s="8" t="inlineStr">
        <is>
          <t>Tmdr</t>
        </is>
      </c>
      <c r="D16" s="29" t="inlineStr"/>
      <c r="E16" s="29" t="inlineStr"/>
      <c r="F16" s="29" t="inlineStr"/>
      <c r="G16" s="29" t="inlineStr"/>
      <c r="H16" s="29" t="inlineStr"/>
      <c r="I16" s="23" t="inlineStr">
        <is>
          <t>■</t>
        </is>
      </c>
      <c r="J16" s="23" t="inlineStr">
        <is>
          <t>■</t>
        </is>
      </c>
      <c r="K16" s="29" t="inlineStr"/>
      <c r="L16" s="29" t="inlineStr"/>
      <c r="M16" s="29" t="inlineStr"/>
      <c r="N16" s="29" t="inlineStr"/>
      <c r="O16" s="29" t="inlineStr"/>
      <c r="P16" s="29" t="inlineStr"/>
      <c r="Q16" s="29" t="inlineStr"/>
      <c r="R16" s="29" t="inlineStr"/>
      <c r="S16" s="29" t="inlineStr"/>
      <c r="T16" s="29" t="inlineStr"/>
      <c r="U16" s="29" t="inlineStr"/>
      <c r="V16" s="29" t="inlineStr"/>
      <c r="W16" s="29" t="inlineStr"/>
    </row>
    <row r="17">
      <c r="A17" s="6" t="inlineStr"/>
      <c r="B17" s="6" t="inlineStr">
        <is>
          <t xml:space="preserve">  └ Multi-Question Splitter + cross-Q entity inheritance</t>
        </is>
      </c>
      <c r="C17" s="8" t="inlineStr">
        <is>
          <t>Tmdr</t>
        </is>
      </c>
      <c r="D17" s="29" t="inlineStr"/>
      <c r="E17" s="29" t="inlineStr"/>
      <c r="F17" s="29" t="inlineStr"/>
      <c r="G17" s="29" t="inlineStr"/>
      <c r="H17" s="29" t="inlineStr"/>
      <c r="I17" s="29" t="inlineStr"/>
      <c r="J17" s="29" t="inlineStr"/>
      <c r="K17" s="23" t="inlineStr">
        <is>
          <t>■</t>
        </is>
      </c>
      <c r="L17" s="29" t="inlineStr"/>
      <c r="M17" s="29" t="inlineStr"/>
      <c r="N17" s="29" t="inlineStr"/>
      <c r="O17" s="29" t="inlineStr"/>
      <c r="P17" s="29" t="inlineStr"/>
      <c r="Q17" s="29" t="inlineStr"/>
      <c r="R17" s="29" t="inlineStr"/>
      <c r="S17" s="29" t="inlineStr"/>
      <c r="T17" s="29" t="inlineStr"/>
      <c r="U17" s="29" t="inlineStr"/>
      <c r="V17" s="29" t="inlineStr"/>
      <c r="W17" s="29" t="inlineStr"/>
    </row>
    <row r="18">
      <c r="A18" s="6" t="inlineStr"/>
      <c r="B18" s="6" t="inlineStr">
        <is>
          <t>Module 3 — Notion Data Router</t>
        </is>
      </c>
      <c r="C18" s="8" t="inlineStr">
        <is>
          <t>Tmdr</t>
        </is>
      </c>
      <c r="D18" s="29" t="inlineStr"/>
      <c r="E18" s="29" t="inlineStr"/>
      <c r="F18" s="29" t="inlineStr"/>
      <c r="G18" s="29" t="inlineStr"/>
      <c r="H18" s="29" t="inlineStr"/>
      <c r="I18" s="29" t="inlineStr"/>
      <c r="J18" s="29" t="inlineStr"/>
      <c r="K18" s="29" t="inlineStr"/>
      <c r="L18" s="23" t="inlineStr">
        <is>
          <t>■</t>
        </is>
      </c>
      <c r="M18" s="23" t="inlineStr">
        <is>
          <t>■</t>
        </is>
      </c>
      <c r="N18" s="29" t="inlineStr"/>
      <c r="O18" s="29" t="inlineStr"/>
      <c r="P18" s="29" t="inlineStr"/>
      <c r="Q18" s="29" t="inlineStr"/>
      <c r="R18" s="29" t="inlineStr"/>
      <c r="S18" s="29" t="inlineStr"/>
      <c r="T18" s="29" t="inlineStr"/>
      <c r="U18" s="29" t="inlineStr"/>
      <c r="V18" s="29" t="inlineStr"/>
      <c r="W18" s="29" t="inlineStr"/>
    </row>
    <row r="19">
      <c r="A19" s="6" t="inlineStr"/>
      <c r="B19" s="6" t="inlineStr">
        <is>
          <t xml:space="preserve">  └ Route Decision Engine (Tier 1/2 → API, Tier 3 → MCP)</t>
        </is>
      </c>
      <c r="C19" s="8" t="inlineStr">
        <is>
          <t>Tmdr</t>
        </is>
      </c>
      <c r="D19" s="29" t="inlineStr"/>
      <c r="E19" s="29" t="inlineStr"/>
      <c r="F19" s="29" t="inlineStr"/>
      <c r="G19" s="29" t="inlineStr"/>
      <c r="H19" s="29" t="inlineStr"/>
      <c r="I19" s="29" t="inlineStr"/>
      <c r="J19" s="29" t="inlineStr"/>
      <c r="K19" s="29" t="inlineStr"/>
      <c r="L19" s="23" t="inlineStr">
        <is>
          <t>■</t>
        </is>
      </c>
      <c r="M19" s="29" t="inlineStr"/>
      <c r="N19" s="29" t="inlineStr"/>
      <c r="O19" s="29" t="inlineStr"/>
      <c r="P19" s="29" t="inlineStr"/>
      <c r="Q19" s="29" t="inlineStr"/>
      <c r="R19" s="29" t="inlineStr"/>
      <c r="S19" s="29" t="inlineStr"/>
      <c r="T19" s="29" t="inlineStr"/>
      <c r="U19" s="29" t="inlineStr"/>
      <c r="V19" s="29" t="inlineStr"/>
      <c r="W19" s="29" t="inlineStr"/>
    </row>
    <row r="20">
      <c r="A20" s="6" t="inlineStr"/>
      <c r="B20" s="6" t="inlineStr">
        <is>
          <t xml:space="preserve">  └ Property Name Normalizer + Multi-hop Coordinator</t>
        </is>
      </c>
      <c r="C20" s="8" t="inlineStr">
        <is>
          <t>Tmdr</t>
        </is>
      </c>
      <c r="D20" s="29" t="inlineStr"/>
      <c r="E20" s="29" t="inlineStr"/>
      <c r="F20" s="29" t="inlineStr"/>
      <c r="G20" s="29" t="inlineStr"/>
      <c r="H20" s="29" t="inlineStr"/>
      <c r="I20" s="29" t="inlineStr"/>
      <c r="J20" s="29" t="inlineStr"/>
      <c r="K20" s="29" t="inlineStr"/>
      <c r="L20" s="29" t="inlineStr"/>
      <c r="M20" s="23" t="inlineStr">
        <is>
          <t>■</t>
        </is>
      </c>
      <c r="N20" s="29" t="inlineStr"/>
      <c r="O20" s="29" t="inlineStr"/>
      <c r="P20" s="29" t="inlineStr"/>
      <c r="Q20" s="29" t="inlineStr"/>
      <c r="R20" s="29" t="inlineStr"/>
      <c r="S20" s="29" t="inlineStr"/>
      <c r="T20" s="29" t="inlineStr"/>
      <c r="U20" s="29" t="inlineStr"/>
      <c r="V20" s="29" t="inlineStr"/>
      <c r="W20" s="29" t="inlineStr"/>
    </row>
    <row r="21">
      <c r="A21" s="6" t="inlineStr"/>
      <c r="B21" s="6" t="inlineStr">
        <is>
          <t>Module 4 — Data Fetcher</t>
        </is>
      </c>
      <c r="C21" s="8" t="inlineStr">
        <is>
          <t>Tmdr</t>
        </is>
      </c>
      <c r="D21" s="29" t="inlineStr"/>
      <c r="E21" s="29" t="inlineStr"/>
      <c r="F21" s="29" t="inlineStr"/>
      <c r="G21" s="29" t="inlineStr"/>
      <c r="H21" s="29" t="inlineStr"/>
      <c r="I21" s="29" t="inlineStr"/>
      <c r="J21" s="29" t="inlineStr"/>
      <c r="K21" s="29" t="inlineStr"/>
      <c r="L21" s="29" t="inlineStr"/>
      <c r="M21" s="29" t="inlineStr"/>
      <c r="N21" s="23" t="inlineStr">
        <is>
          <t>■</t>
        </is>
      </c>
      <c r="O21" s="23" t="inlineStr">
        <is>
          <t>■</t>
        </is>
      </c>
      <c r="P21" s="23" t="inlineStr">
        <is>
          <t>■</t>
        </is>
      </c>
      <c r="Q21" s="23" t="inlineStr">
        <is>
          <t>■</t>
        </is>
      </c>
      <c r="R21" s="29" t="inlineStr"/>
      <c r="S21" s="29" t="inlineStr"/>
      <c r="T21" s="29" t="inlineStr"/>
      <c r="U21" s="29" t="inlineStr"/>
      <c r="V21" s="29" t="inlineStr"/>
      <c r="W21" s="29" t="inlineStr"/>
    </row>
    <row r="22">
      <c r="A22" s="6" t="inlineStr"/>
      <c r="B22" s="6" t="inlineStr">
        <is>
          <t xml:space="preserve">  └ Notion API Client (project search, property, bugs, changelog)</t>
        </is>
      </c>
      <c r="C22" s="8" t="inlineStr">
        <is>
          <t>Tmdr</t>
        </is>
      </c>
      <c r="D22" s="29" t="inlineStr"/>
      <c r="E22" s="29" t="inlineStr"/>
      <c r="F22" s="29" t="inlineStr"/>
      <c r="G22" s="29" t="inlineStr"/>
      <c r="H22" s="29" t="inlineStr"/>
      <c r="I22" s="29" t="inlineStr"/>
      <c r="J22" s="29" t="inlineStr"/>
      <c r="K22" s="29" t="inlineStr"/>
      <c r="L22" s="29" t="inlineStr"/>
      <c r="M22" s="29" t="inlineStr"/>
      <c r="N22" s="23" t="inlineStr">
        <is>
          <t>■</t>
        </is>
      </c>
      <c r="O22" s="23" t="inlineStr">
        <is>
          <t>■</t>
        </is>
      </c>
      <c r="P22" s="29" t="inlineStr"/>
      <c r="Q22" s="29" t="inlineStr"/>
      <c r="R22" s="29" t="inlineStr"/>
      <c r="S22" s="29" t="inlineStr"/>
      <c r="T22" s="29" t="inlineStr"/>
      <c r="U22" s="29" t="inlineStr"/>
      <c r="V22" s="29" t="inlineStr"/>
      <c r="W22" s="29" t="inlineStr"/>
    </row>
    <row r="23">
      <c r="A23" s="6" t="inlineStr"/>
      <c r="B23" s="6" t="inlineStr">
        <is>
          <t xml:space="preserve">  └ Notion MCP Client (page nav, content reader, cred extractor)</t>
        </is>
      </c>
      <c r="C23" s="8" t="inlineStr">
        <is>
          <t>Tmdr</t>
        </is>
      </c>
      <c r="D23" s="29" t="inlineStr"/>
      <c r="E23" s="29" t="inlineStr"/>
      <c r="F23" s="29" t="inlineStr"/>
      <c r="G23" s="29" t="inlineStr"/>
      <c r="H23" s="29" t="inlineStr"/>
      <c r="I23" s="29" t="inlineStr"/>
      <c r="J23" s="29" t="inlineStr"/>
      <c r="K23" s="29" t="inlineStr"/>
      <c r="L23" s="29" t="inlineStr"/>
      <c r="M23" s="29" t="inlineStr"/>
      <c r="N23" s="29" t="inlineStr"/>
      <c r="O23" s="29" t="inlineStr"/>
      <c r="P23" s="23" t="inlineStr">
        <is>
          <t>■</t>
        </is>
      </c>
      <c r="Q23" s="29" t="inlineStr"/>
      <c r="R23" s="29" t="inlineStr"/>
      <c r="S23" s="29" t="inlineStr"/>
      <c r="T23" s="29" t="inlineStr"/>
      <c r="U23" s="29" t="inlineStr"/>
      <c r="V23" s="29" t="inlineStr"/>
      <c r="W23" s="29" t="inlineStr"/>
    </row>
    <row r="24">
      <c r="A24" s="6" t="inlineStr"/>
      <c r="B24" s="6" t="inlineStr">
        <is>
          <t xml:space="preserve">  └ Cache Layer (30min / 5min / 15min / no-cache per tier)</t>
        </is>
      </c>
      <c r="C24" s="8" t="inlineStr">
        <is>
          <t>Tmdr</t>
        </is>
      </c>
      <c r="D24" s="29" t="inlineStr"/>
      <c r="E24" s="29" t="inlineStr"/>
      <c r="F24" s="29" t="inlineStr"/>
      <c r="G24" s="29" t="inlineStr"/>
      <c r="H24" s="29" t="inlineStr"/>
      <c r="I24" s="29" t="inlineStr"/>
      <c r="J24" s="29" t="inlineStr"/>
      <c r="K24" s="29" t="inlineStr"/>
      <c r="L24" s="29" t="inlineStr"/>
      <c r="M24" s="29" t="inlineStr"/>
      <c r="N24" s="29" t="inlineStr"/>
      <c r="O24" s="29" t="inlineStr"/>
      <c r="P24" s="29" t="inlineStr"/>
      <c r="Q24" s="23" t="inlineStr">
        <is>
          <t>■</t>
        </is>
      </c>
      <c r="R24" s="29" t="inlineStr"/>
      <c r="S24" s="29" t="inlineStr"/>
      <c r="T24" s="29" t="inlineStr"/>
      <c r="U24" s="29" t="inlineStr"/>
      <c r="V24" s="29" t="inlineStr"/>
      <c r="W24" s="29" t="inlineStr"/>
    </row>
    <row r="25">
      <c r="A25" s="6" t="inlineStr"/>
      <c r="B25" s="6" t="inlineStr">
        <is>
          <t>Module 5 — LLM Response Synthesizer</t>
        </is>
      </c>
      <c r="C25" s="8" t="inlineStr">
        <is>
          <t>Tmdr</t>
        </is>
      </c>
      <c r="D25" s="29" t="inlineStr"/>
      <c r="E25" s="29" t="inlineStr"/>
      <c r="F25" s="29" t="inlineStr"/>
      <c r="G25" s="29" t="inlineStr"/>
      <c r="H25" s="29" t="inlineStr"/>
      <c r="I25" s="29" t="inlineStr"/>
      <c r="J25" s="29" t="inlineStr"/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  <c r="R25" s="23" t="inlineStr">
        <is>
          <t>■</t>
        </is>
      </c>
      <c r="S25" s="23" t="inlineStr">
        <is>
          <t>■</t>
        </is>
      </c>
      <c r="T25" s="29" t="inlineStr"/>
      <c r="U25" s="29" t="inlineStr"/>
      <c r="V25" s="29" t="inlineStr"/>
      <c r="W25" s="29" t="inlineStr"/>
    </row>
    <row r="26">
      <c r="A26" s="6" t="inlineStr"/>
      <c r="B26" s="6" t="inlineStr">
        <is>
          <t xml:space="preserve">  └ Prompt Builder + Multi-answer Formatter + Language instr.</t>
        </is>
      </c>
      <c r="C26" s="8" t="inlineStr">
        <is>
          <t>Tmdr</t>
        </is>
      </c>
      <c r="D26" s="29" t="inlineStr"/>
      <c r="E26" s="29" t="inlineStr"/>
      <c r="F26" s="29" t="inlineStr"/>
      <c r="G26" s="29" t="inlineStr"/>
      <c r="H26" s="29" t="inlineStr"/>
      <c r="I26" s="29" t="inlineStr"/>
      <c r="J26" s="29" t="inlineStr"/>
      <c r="K26" s="29" t="inlineStr"/>
      <c r="L26" s="29" t="inlineStr"/>
      <c r="M26" s="29" t="inlineStr"/>
      <c r="N26" s="29" t="inlineStr"/>
      <c r="O26" s="29" t="inlineStr"/>
      <c r="P26" s="29" t="inlineStr"/>
      <c r="Q26" s="29" t="inlineStr"/>
      <c r="R26" s="23" t="inlineStr">
        <is>
          <t>■</t>
        </is>
      </c>
      <c r="S26" s="29" t="inlineStr"/>
      <c r="T26" s="29" t="inlineStr"/>
      <c r="U26" s="29" t="inlineStr"/>
      <c r="V26" s="29" t="inlineStr"/>
      <c r="W26" s="29" t="inlineStr"/>
    </row>
    <row r="27">
      <c r="A27" s="6" t="inlineStr"/>
      <c r="B27" s="6" t="inlineStr">
        <is>
          <t xml:space="preserve">  └ Hallucination Guardrail + Credential Formatter</t>
        </is>
      </c>
      <c r="C27" s="8" t="inlineStr">
        <is>
          <t>Tmdr</t>
        </is>
      </c>
      <c r="D27" s="29" t="inlineStr"/>
      <c r="E27" s="29" t="inlineStr"/>
      <c r="F27" s="29" t="inlineStr"/>
      <c r="G27" s="29" t="inlineStr"/>
      <c r="H27" s="29" t="inlineStr"/>
      <c r="I27" s="29" t="inlineStr"/>
      <c r="J27" s="29" t="inlineStr"/>
      <c r="K27" s="29" t="inlineStr"/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  <c r="S27" s="23" t="inlineStr">
        <is>
          <t>■</t>
        </is>
      </c>
      <c r="T27" s="29" t="inlineStr"/>
      <c r="U27" s="29" t="inlineStr"/>
      <c r="V27" s="29" t="inlineStr"/>
      <c r="W27" s="29" t="inlineStr"/>
    </row>
    <row r="28">
      <c r="A28" s="6" t="inlineStr"/>
      <c r="B28" s="6" t="inlineStr">
        <is>
          <t>Module 6 — Config &amp; Observability</t>
        </is>
      </c>
      <c r="C28" s="8" t="inlineStr">
        <is>
          <t>Tmdr</t>
        </is>
      </c>
      <c r="D28" s="29" t="inlineStr"/>
      <c r="E28" s="29" t="inlineStr"/>
      <c r="F28" s="29" t="inlineStr"/>
      <c r="G28" s="29" t="inlineStr"/>
      <c r="H28" s="29" t="inlineStr"/>
      <c r="I28" s="29" t="inlineStr"/>
      <c r="J28" s="29" t="inlineStr"/>
      <c r="K28" s="29" t="inlineStr"/>
      <c r="L28" s="29" t="inlineStr"/>
      <c r="M28" s="29" t="inlineStr"/>
      <c r="N28" s="29" t="inlineStr"/>
      <c r="O28" s="29" t="inlineStr"/>
      <c r="P28" s="29" t="inlineStr"/>
      <c r="Q28" s="29" t="inlineStr"/>
      <c r="R28" s="29" t="inlineStr"/>
      <c r="S28" s="29" t="inlineStr"/>
      <c r="T28" s="23" t="inlineStr">
        <is>
          <t>■</t>
        </is>
      </c>
      <c r="U28" s="29" t="inlineStr"/>
      <c r="V28" s="29" t="inlineStr"/>
      <c r="W28" s="29" t="inlineStr"/>
    </row>
    <row r="29">
      <c r="A29" s="6" t="inlineStr"/>
      <c r="B29" s="6" t="inlineStr">
        <is>
          <t xml:space="preserve">  └ YAML Config + DB Registry + LLM/cache config + Health Check</t>
        </is>
      </c>
      <c r="C29" s="8" t="inlineStr">
        <is>
          <t>Tmdr</t>
        </is>
      </c>
      <c r="D29" s="29" t="inlineStr"/>
      <c r="E29" s="29" t="inlineStr"/>
      <c r="F29" s="29" t="inlineStr"/>
      <c r="G29" s="29" t="inlineStr"/>
      <c r="H29" s="29" t="inlineStr"/>
      <c r="I29" s="29" t="inlineStr"/>
      <c r="J29" s="29" t="inlineStr"/>
      <c r="K29" s="29" t="inlineStr"/>
      <c r="L29" s="29" t="inlineStr"/>
      <c r="M29" s="29" t="inlineStr"/>
      <c r="N29" s="29" t="inlineStr"/>
      <c r="O29" s="29" t="inlineStr"/>
      <c r="P29" s="29" t="inlineStr"/>
      <c r="Q29" s="29" t="inlineStr"/>
      <c r="R29" s="29" t="inlineStr"/>
      <c r="S29" s="29" t="inlineStr"/>
      <c r="T29" s="23" t="inlineStr">
        <is>
          <t>■</t>
        </is>
      </c>
      <c r="U29" s="29" t="inlineStr"/>
      <c r="V29" s="29" t="inlineStr"/>
      <c r="W29" s="29" t="inlineStr"/>
    </row>
    <row r="30">
      <c r="A30" s="6" t="inlineStr"/>
      <c r="B30" s="6" t="inlineStr">
        <is>
          <t xml:space="preserve">  └ Latency Logger + Error Tracker + Query Audit Log</t>
        </is>
      </c>
      <c r="C30" s="8" t="inlineStr">
        <is>
          <t>Tmdr</t>
        </is>
      </c>
      <c r="D30" s="29" t="inlineStr"/>
      <c r="E30" s="29" t="inlineStr"/>
      <c r="F30" s="29" t="inlineStr"/>
      <c r="G30" s="29" t="inlineStr"/>
      <c r="H30" s="29" t="inlineStr"/>
      <c r="I30" s="29" t="inlineStr"/>
      <c r="J30" s="29" t="inlineStr"/>
      <c r="K30" s="29" t="inlineStr"/>
      <c r="L30" s="29" t="inlineStr"/>
      <c r="M30" s="29" t="inlineStr"/>
      <c r="N30" s="29" t="inlineStr"/>
      <c r="O30" s="29" t="inlineStr"/>
      <c r="P30" s="29" t="inlineStr"/>
      <c r="Q30" s="29" t="inlineStr"/>
      <c r="R30" s="29" t="inlineStr"/>
      <c r="S30" s="29" t="inlineStr"/>
      <c r="T30" s="23" t="inlineStr">
        <is>
          <t>■</t>
        </is>
      </c>
      <c r="U30" s="29" t="inlineStr"/>
      <c r="V30" s="29" t="inlineStr"/>
      <c r="W30" s="29" t="inlineStr"/>
    </row>
    <row r="31">
      <c r="A31" s="4" t="inlineStr">
        <is>
          <t>Testing</t>
        </is>
      </c>
      <c r="B31" s="26" t="inlineStr"/>
      <c r="C31" s="27" t="inlineStr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</row>
    <row r="32">
      <c r="A32" s="6" t="inlineStr"/>
      <c r="B32" s="6" t="inlineStr">
        <is>
          <t>Integration testing across all 6 modules</t>
        </is>
      </c>
      <c r="C32" s="8" t="inlineStr">
        <is>
          <t>Tmdr</t>
        </is>
      </c>
      <c r="D32" s="29" t="inlineStr"/>
      <c r="E32" s="29" t="inlineStr"/>
      <c r="F32" s="29" t="inlineStr"/>
      <c r="G32" s="29" t="inlineStr"/>
      <c r="H32" s="29" t="inlineStr"/>
      <c r="I32" s="29" t="inlineStr"/>
      <c r="J32" s="29" t="inlineStr"/>
      <c r="K32" s="29" t="inlineStr"/>
      <c r="L32" s="29" t="inlineStr"/>
      <c r="M32" s="29" t="inlineStr"/>
      <c r="N32" s="29" t="inlineStr"/>
      <c r="O32" s="29" t="inlineStr"/>
      <c r="P32" s="29" t="inlineStr"/>
      <c r="Q32" s="29" t="inlineStr"/>
      <c r="R32" s="29" t="inlineStr"/>
      <c r="S32" s="29" t="inlineStr"/>
      <c r="T32" s="29" t="inlineStr"/>
      <c r="U32" s="23" t="inlineStr">
        <is>
          <t>■</t>
        </is>
      </c>
      <c r="V32" s="29" t="inlineStr"/>
      <c r="W32" s="29" t="inlineStr"/>
    </row>
    <row r="33">
      <c r="A33" s="6" t="inlineStr"/>
      <c r="B33" s="6" t="inlineStr">
        <is>
          <t>Internal QA: Tier 1/2 structured + Tier 3 MCP queries</t>
        </is>
      </c>
      <c r="C33" s="8" t="inlineStr">
        <is>
          <t>Tmdr</t>
        </is>
      </c>
      <c r="D33" s="29" t="inlineStr"/>
      <c r="E33" s="29" t="inlineStr"/>
      <c r="F33" s="29" t="inlineStr"/>
      <c r="G33" s="29" t="inlineStr"/>
      <c r="H33" s="29" t="inlineStr"/>
      <c r="I33" s="29" t="inlineStr"/>
      <c r="J33" s="29" t="inlineStr"/>
      <c r="K33" s="29" t="inlineStr"/>
      <c r="L33" s="29" t="inlineStr"/>
      <c r="M33" s="29" t="inlineStr"/>
      <c r="N33" s="29" t="inlineStr"/>
      <c r="O33" s="29" t="inlineStr"/>
      <c r="P33" s="29" t="inlineStr"/>
      <c r="Q33" s="29" t="inlineStr"/>
      <c r="R33" s="29" t="inlineStr"/>
      <c r="S33" s="29" t="inlineStr"/>
      <c r="T33" s="29" t="inlineStr"/>
      <c r="U33" s="23" t="inlineStr">
        <is>
          <t>■</t>
        </is>
      </c>
      <c r="V33" s="23" t="inlineStr">
        <is>
          <t>■</t>
        </is>
      </c>
      <c r="W33" s="29" t="inlineStr"/>
    </row>
    <row r="34">
      <c r="A34" s="6" t="inlineStr"/>
      <c r="B34" s="6" t="inlineStr">
        <is>
          <t>Bug fixes + edge case handling + latency verification</t>
        </is>
      </c>
      <c r="C34" s="8" t="inlineStr">
        <is>
          <t>Tmdr</t>
        </is>
      </c>
      <c r="D34" s="29" t="inlineStr"/>
      <c r="E34" s="29" t="inlineStr"/>
      <c r="F34" s="29" t="inlineStr"/>
      <c r="G34" s="29" t="inlineStr"/>
      <c r="H34" s="29" t="inlineStr"/>
      <c r="I34" s="29" t="inlineStr"/>
      <c r="J34" s="29" t="inlineStr"/>
      <c r="K34" s="29" t="inlineStr"/>
      <c r="L34" s="29" t="inlineStr"/>
      <c r="M34" s="29" t="inlineStr"/>
      <c r="N34" s="29" t="inlineStr"/>
      <c r="O34" s="29" t="inlineStr"/>
      <c r="P34" s="29" t="inlineStr"/>
      <c r="Q34" s="29" t="inlineStr"/>
      <c r="R34" s="29" t="inlineStr"/>
      <c r="S34" s="29" t="inlineStr"/>
      <c r="T34" s="29" t="inlineStr"/>
      <c r="U34" s="29" t="inlineStr"/>
      <c r="V34" s="23" t="inlineStr">
        <is>
          <t>■</t>
        </is>
      </c>
      <c r="W34" s="29" t="inlineStr"/>
    </row>
    <row r="35">
      <c r="A35" s="4" t="inlineStr">
        <is>
          <t>UAT &amp; Launch</t>
        </is>
      </c>
      <c r="B35" s="26" t="inlineStr"/>
      <c r="C35" s="27" t="inlineStr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</row>
    <row r="36">
      <c r="A36" s="6" t="inlineStr"/>
      <c r="B36" s="6" t="inlineStr">
        <is>
          <t>User Acceptance Testing (PM, Dev, QA, CS, Sales roles)</t>
        </is>
      </c>
      <c r="C36" s="8" t="inlineStr">
        <is>
          <t>Tmdr</t>
        </is>
      </c>
      <c r="D36" s="29" t="inlineStr"/>
      <c r="E36" s="29" t="inlineStr"/>
      <c r="F36" s="29" t="inlineStr"/>
      <c r="G36" s="29" t="inlineStr"/>
      <c r="H36" s="29" t="inlineStr"/>
      <c r="I36" s="29" t="inlineStr"/>
      <c r="J36" s="29" t="inlineStr"/>
      <c r="K36" s="29" t="inlineStr"/>
      <c r="L36" s="29" t="inlineStr"/>
      <c r="M36" s="29" t="inlineStr"/>
      <c r="N36" s="29" t="inlineStr"/>
      <c r="O36" s="29" t="inlineStr"/>
      <c r="P36" s="29" t="inlineStr"/>
      <c r="Q36" s="29" t="inlineStr"/>
      <c r="R36" s="29" t="inlineStr"/>
      <c r="S36" s="29" t="inlineStr"/>
      <c r="T36" s="29" t="inlineStr"/>
      <c r="U36" s="29" t="inlineStr"/>
      <c r="V36" s="29" t="inlineStr"/>
      <c r="W36" s="23" t="inlineStr">
        <is>
          <t>■</t>
        </is>
      </c>
    </row>
    <row r="37">
      <c r="A37" s="6" t="inlineStr"/>
      <c r="B37" s="6" t="inlineStr">
        <is>
          <t>Revision based on UAT feedback</t>
        </is>
      </c>
      <c r="C37" s="8" t="inlineStr">
        <is>
          <t>Tmdr</t>
        </is>
      </c>
      <c r="D37" s="29" t="inlineStr"/>
      <c r="E37" s="29" t="inlineStr"/>
      <c r="F37" s="29" t="inlineStr"/>
      <c r="G37" s="29" t="inlineStr"/>
      <c r="H37" s="29" t="inlineStr"/>
      <c r="I37" s="29" t="inlineStr"/>
      <c r="J37" s="29" t="inlineStr"/>
      <c r="K37" s="29" t="inlineStr"/>
      <c r="L37" s="29" t="inlineStr"/>
      <c r="M37" s="29" t="inlineStr"/>
      <c r="N37" s="29" t="inlineStr"/>
      <c r="O37" s="29" t="inlineStr"/>
      <c r="P37" s="29" t="inlineStr"/>
      <c r="Q37" s="29" t="inlineStr"/>
      <c r="R37" s="29" t="inlineStr"/>
      <c r="S37" s="29" t="inlineStr"/>
      <c r="T37" s="29" t="inlineStr"/>
      <c r="U37" s="29" t="inlineStr"/>
      <c r="V37" s="29" t="inlineStr"/>
      <c r="W37" s="23" t="inlineStr">
        <is>
          <t>■</t>
        </is>
      </c>
    </row>
    <row r="38">
      <c r="A38" s="6" t="inlineStr"/>
      <c r="B38" s="6" t="inlineStr">
        <is>
          <t>Railway production deploy + post-launch monitoring</t>
        </is>
      </c>
      <c r="C38" s="8" t="inlineStr">
        <is>
          <t>Tmdr</t>
        </is>
      </c>
      <c r="D38" s="29" t="inlineStr"/>
      <c r="E38" s="29" t="inlineStr"/>
      <c r="F38" s="29" t="inlineStr"/>
      <c r="G38" s="29" t="inlineStr"/>
      <c r="H38" s="29" t="inlineStr"/>
      <c r="I38" s="29" t="inlineStr"/>
      <c r="J38" s="29" t="inlineStr"/>
      <c r="K38" s="29" t="inlineStr"/>
      <c r="L38" s="29" t="inlineStr"/>
      <c r="M38" s="29" t="inlineStr"/>
      <c r="N38" s="29" t="inlineStr"/>
      <c r="O38" s="29" t="inlineStr"/>
      <c r="P38" s="29" t="inlineStr"/>
      <c r="Q38" s="29" t="inlineStr"/>
      <c r="R38" s="29" t="inlineStr"/>
      <c r="S38" s="29" t="inlineStr"/>
      <c r="T38" s="29" t="inlineStr"/>
      <c r="U38" s="29" t="inlineStr"/>
      <c r="V38" s="29" t="inlineStr"/>
      <c r="W38" s="23" t="inlineStr">
        <is>
          <t>■</t>
        </is>
      </c>
    </row>
    <row r="39">
      <c r="A39" s="6" t="inlineStr"/>
      <c r="B39" s="6" t="inlineStr">
        <is>
          <t>Documentation handover</t>
        </is>
      </c>
      <c r="C39" s="8" t="inlineStr">
        <is>
          <t>Tmdr</t>
        </is>
      </c>
      <c r="D39" s="29" t="inlineStr"/>
      <c r="E39" s="29" t="inlineStr"/>
      <c r="F39" s="29" t="inlineStr"/>
      <c r="G39" s="29" t="inlineStr"/>
      <c r="H39" s="29" t="inlineStr"/>
      <c r="I39" s="29" t="inlineStr"/>
      <c r="J39" s="29" t="inlineStr"/>
      <c r="K39" s="29" t="inlineStr"/>
      <c r="L39" s="29" t="inlineStr"/>
      <c r="M39" s="29" t="inlineStr"/>
      <c r="N39" s="29" t="inlineStr"/>
      <c r="O39" s="29" t="inlineStr"/>
      <c r="P39" s="29" t="inlineStr"/>
      <c r="Q39" s="29" t="inlineStr"/>
      <c r="R39" s="29" t="inlineStr"/>
      <c r="S39" s="29" t="inlineStr"/>
      <c r="T39" s="29" t="inlineStr"/>
      <c r="U39" s="29" t="inlineStr"/>
      <c r="V39" s="29" t="inlineStr"/>
      <c r="W39" s="23" t="inlineStr">
        <is>
          <t>■</t>
        </is>
      </c>
    </row>
  </sheetData>
  <mergeCells count="4">
    <mergeCell ref="S1:W1"/>
    <mergeCell ref="I1:M1"/>
    <mergeCell ref="D1:H1"/>
    <mergeCell ref="N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5" customWidth="1" min="2" max="2"/>
    <col width="7" customWidth="1" min="3" max="3"/>
    <col width="12" customWidth="1" min="4" max="4"/>
    <col width="12" customWidth="1" min="5" max="5"/>
    <col width="12" customWidth="1" min="6" max="6"/>
    <col width="12" customWidth="1" min="7" max="7"/>
    <col width="62" customWidth="1" min="8" max="8"/>
  </cols>
  <sheetData>
    <row r="1" ht="32" customHeight="1">
      <c r="A1" s="1" t="inlineStr">
        <is>
          <t>No</t>
        </is>
      </c>
      <c r="B1" s="2" t="inlineStr">
        <is>
          <t>Module / Phase</t>
        </is>
      </c>
      <c r="C1" s="1" t="inlineStr">
        <is>
          <t>Days</t>
        </is>
      </c>
      <c r="D1" s="1" t="inlineStr">
        <is>
          <t>Week 1
(D1–5)</t>
        </is>
      </c>
      <c r="E1" s="1" t="inlineStr">
        <is>
          <t>Week 2
(D6–10)</t>
        </is>
      </c>
      <c r="F1" s="1" t="inlineStr">
        <is>
          <t>Week 3
(D11–15)</t>
        </is>
      </c>
      <c r="G1" s="1" t="inlineStr">
        <is>
          <t>Week 4
(D16–20)</t>
        </is>
      </c>
      <c r="H1" s="2" t="inlineStr">
        <is>
          <t>Key Deliverables</t>
        </is>
      </c>
    </row>
    <row r="2">
      <c r="A2" s="30" t="inlineStr">
        <is>
          <t>—</t>
        </is>
      </c>
      <c r="B2" s="10" t="inlineStr">
        <is>
          <t>Planning &amp; Setup</t>
        </is>
      </c>
      <c r="C2" s="30" t="n">
        <v>1</v>
      </c>
      <c r="D2" s="31" t="inlineStr">
        <is>
          <t>■</t>
        </is>
      </c>
      <c r="E2" s="32" t="inlineStr"/>
      <c r="F2" s="32" t="inlineStr"/>
      <c r="G2" s="32" t="inlineStr"/>
      <c r="H2" s="33" t="inlineStr">
        <is>
          <t>Env ready, bot token, Notion token, Railway project, config skeleton</t>
        </is>
      </c>
    </row>
    <row r="3">
      <c r="A3" s="8" t="inlineStr">
        <is>
          <t>1</t>
        </is>
      </c>
      <c r="B3" s="6" t="inlineStr">
        <is>
          <t>Module 1 — Discord Gateway</t>
        </is>
      </c>
      <c r="C3" s="8" t="n">
        <v>2</v>
      </c>
      <c r="D3" s="31" t="inlineStr">
        <is>
          <t>■</t>
        </is>
      </c>
      <c r="E3" s="34" t="inlineStr"/>
      <c r="F3" s="34" t="inlineStr"/>
      <c r="G3" s="34" t="inlineStr"/>
      <c r="H3" s="7" t="inlineStr">
        <is>
          <t>Bot listening in Discord, channel filter live, rate limiter, embed formatter</t>
        </is>
      </c>
    </row>
    <row r="4">
      <c r="A4" s="8" t="inlineStr">
        <is>
          <t>2</t>
        </is>
      </c>
      <c r="B4" s="6" t="inlineStr">
        <is>
          <t>Module 2 — Query Parser</t>
        </is>
      </c>
      <c r="C4" s="8" t="n">
        <v>4</v>
      </c>
      <c r="D4" s="31" t="inlineStr">
        <is>
          <t>■</t>
        </is>
      </c>
      <c r="E4" s="31" t="inlineStr">
        <is>
          <t>■</t>
        </is>
      </c>
      <c r="F4" s="34" t="inlineStr"/>
      <c r="G4" s="34" t="inlineStr"/>
      <c r="H4" s="7" t="inlineStr">
        <is>
          <t>Session store, intent classifier, fuzzy matcher, multi-Q splitter</t>
        </is>
      </c>
    </row>
    <row r="5">
      <c r="A5" s="8" t="inlineStr">
        <is>
          <t>3</t>
        </is>
      </c>
      <c r="B5" s="6" t="inlineStr">
        <is>
          <t>Module 3 — Notion Data Router</t>
        </is>
      </c>
      <c r="C5" s="8" t="n">
        <v>2</v>
      </c>
      <c r="D5" s="34" t="inlineStr"/>
      <c r="E5" s="31" t="inlineStr">
        <is>
          <t>■</t>
        </is>
      </c>
      <c r="F5" s="34" t="inlineStr"/>
      <c r="G5" s="34" t="inlineStr"/>
      <c r="H5" s="7" t="inlineStr">
        <is>
          <t>Tier 1/2/3 routing, property normalizer, multi-hop coordinator</t>
        </is>
      </c>
    </row>
    <row r="6">
      <c r="A6" s="8" t="inlineStr">
        <is>
          <t>4</t>
        </is>
      </c>
      <c r="B6" s="6" t="inlineStr">
        <is>
          <t>Module 4 — Data Fetcher</t>
        </is>
      </c>
      <c r="C6" s="8" t="n">
        <v>4</v>
      </c>
      <c r="D6" s="34" t="inlineStr"/>
      <c r="E6" s="34" t="inlineStr"/>
      <c r="F6" s="31" t="inlineStr">
        <is>
          <t>■</t>
        </is>
      </c>
      <c r="G6" s="34" t="inlineStr"/>
      <c r="H6" s="7" t="inlineStr">
        <is>
          <t>Notion API client, MCP client, cache layer with per-tier TTLs</t>
        </is>
      </c>
    </row>
    <row r="7">
      <c r="A7" s="8" t="inlineStr">
        <is>
          <t>5</t>
        </is>
      </c>
      <c r="B7" s="6" t="inlineStr">
        <is>
          <t>Module 5 — LLM Response Synthesizer</t>
        </is>
      </c>
      <c r="C7" s="8" t="n">
        <v>2</v>
      </c>
      <c r="D7" s="34" t="inlineStr"/>
      <c r="E7" s="34" t="inlineStr"/>
      <c r="F7" s="31" t="inlineStr">
        <is>
          <t>■</t>
        </is>
      </c>
      <c r="G7" s="31" t="inlineStr">
        <is>
          <t>■</t>
        </is>
      </c>
      <c r="H7" s="7" t="inlineStr">
        <is>
          <t>Prompt builder, guardrails, credential formatter, bilingual output</t>
        </is>
      </c>
    </row>
    <row r="8">
      <c r="A8" s="8" t="inlineStr">
        <is>
          <t>6</t>
        </is>
      </c>
      <c r="B8" s="6" t="inlineStr">
        <is>
          <t>Module 6 — Config &amp; Observability</t>
        </is>
      </c>
      <c r="C8" s="8" t="n">
        <v>1</v>
      </c>
      <c r="D8" s="34" t="inlineStr"/>
      <c r="E8" s="34" t="inlineStr"/>
      <c r="F8" s="34" t="inlineStr"/>
      <c r="G8" s="31" t="inlineStr">
        <is>
          <t>■</t>
        </is>
      </c>
      <c r="H8" s="7" t="inlineStr">
        <is>
          <t>YAML config, health check endpoint, latency/error/audit logging</t>
        </is>
      </c>
    </row>
    <row r="9">
      <c r="A9" s="30" t="inlineStr">
        <is>
          <t>—</t>
        </is>
      </c>
      <c r="B9" s="10" t="inlineStr">
        <is>
          <t>Integration &amp; Testing</t>
        </is>
      </c>
      <c r="C9" s="30" t="n">
        <v>2</v>
      </c>
      <c r="D9" s="32" t="inlineStr"/>
      <c r="E9" s="32" t="inlineStr"/>
      <c r="F9" s="32" t="inlineStr"/>
      <c r="G9" s="31" t="inlineStr">
        <is>
          <t>■</t>
        </is>
      </c>
      <c r="H9" s="33" t="inlineStr">
        <is>
          <t>End-to-end tests, internal QA across all query types, bug fixes</t>
        </is>
      </c>
    </row>
    <row r="10">
      <c r="A10" s="30" t="inlineStr">
        <is>
          <t>—</t>
        </is>
      </c>
      <c r="B10" s="10" t="inlineStr">
        <is>
          <t>UAT + Deployment</t>
        </is>
      </c>
      <c r="C10" s="30" t="n">
        <v>2</v>
      </c>
      <c r="D10" s="32" t="inlineStr"/>
      <c r="E10" s="32" t="inlineStr"/>
      <c r="F10" s="32" t="inlineStr"/>
      <c r="G10" s="31" t="inlineStr">
        <is>
          <t>■</t>
        </is>
      </c>
      <c r="H10" s="33" t="inlineStr">
        <is>
          <t>UAT sign-off, Railway prod deploy, post-launch monitoring</t>
        </is>
      </c>
    </row>
    <row r="11">
      <c r="A11" s="30" t="inlineStr"/>
      <c r="B11" s="10" t="inlineStr"/>
      <c r="C11" s="30" t="inlineStr"/>
      <c r="D11" s="32" t="inlineStr"/>
      <c r="E11" s="32" t="inlineStr"/>
      <c r="F11" s="32" t="inlineStr"/>
      <c r="G11" s="32" t="inlineStr"/>
      <c r="H11" s="33" t="inlineStr"/>
    </row>
    <row r="12">
      <c r="A12" s="12" t="inlineStr"/>
      <c r="B12" s="35" t="inlineStr">
        <is>
          <t>TOTAL</t>
        </is>
      </c>
      <c r="C12" s="12" t="n">
        <v>20</v>
      </c>
      <c r="D12" s="36" t="inlineStr"/>
      <c r="E12" s="36" t="inlineStr"/>
      <c r="F12" s="36" t="inlineStr"/>
      <c r="G12" s="36" t="inlineStr"/>
      <c r="H12" s="37" t="inlineStr">
        <is>
          <t>20 working days  |  4 calendar weeks</t>
        </is>
      </c>
    </row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2026-08-13T10:18:15Z</dcterms:created>
  <dcterms:modified xsi:type="dcterms:W3CDTF">2026-08-13T10:19:06Z</dcterms:modified>
</cp:coreProperties>
</file>